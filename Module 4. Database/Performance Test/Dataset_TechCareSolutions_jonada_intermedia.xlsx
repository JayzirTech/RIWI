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TechCare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<sst xmlns="http://schemas.openxmlformats.org/spreadsheetml/2006/main" count="287" uniqueCount="211">
  <si>
    <t>Client</t>
  </si>
  <si>
    <t>City</t>
  </si>
  <si>
    <t>Branch</t>
  </si>
  <si>
    <t>Technician</t>
  </si>
  <si>
    <t>Equipment</t>
  </si>
  <si>
    <t>EquipmentCategory</t>
  </si>
  <si>
    <t>ServiceType</t>
  </si>
  <si>
    <t>WorkOrder</t>
  </si>
  <si>
    <t>ServiceDate</t>
  </si>
  <si>
    <t>Hours</t>
  </si>
  <si>
    <t>Cost</t>
  </si>
  <si>
    <t>Acme Ltd</t>
  </si>
  <si>
    <t>Bogotá</t>
  </si>
  <si>
    <t>North Office</t>
  </si>
  <si>
    <t>Juan Perez</t>
  </si>
  <si>
    <t>Dell Latitude 5420</t>
  </si>
  <si>
    <t>Laptop</t>
  </si>
  <si>
    <t>Preventive</t>
  </si>
  <si>
    <t>WO1001</t>
  </si>
  <si>
    <t>2026-05-01</t>
  </si>
  <si>
    <t>ACME LTDA</t>
  </si>
  <si>
    <t>Bogota</t>
  </si>
  <si>
    <t>Office North</t>
  </si>
  <si>
    <t>J. Perez</t>
  </si>
  <si>
    <t>Latitude 5420</t>
  </si>
  <si>
    <t>Laptops</t>
  </si>
  <si>
    <t>Preventive Maintenance</t>
  </si>
  <si>
    <t>WO1002</t>
  </si>
  <si>
    <t>2026-05-02</t>
  </si>
  <si>
    <t>Innova SAS</t>
  </si>
  <si>
    <t>Medellín</t>
  </si>
  <si>
    <t>HQ</t>
  </si>
  <si>
    <t>Maria Gomez</t>
  </si>
  <si>
    <t>HP ProDesk</t>
  </si>
  <si>
    <t>Desktop</t>
  </si>
  <si>
    <t>Corrective</t>
  </si>
  <si>
    <t>WO1003</t>
  </si>
  <si>
    <t>2026-05-03</t>
  </si>
  <si>
    <t>Innova S.A.S.</t>
  </si>
  <si>
    <t>Medellin</t>
  </si>
  <si>
    <t>Headquarters</t>
  </si>
  <si>
    <t>M. Gomez</t>
  </si>
  <si>
    <t>HP Pro Desk</t>
  </si>
  <si>
    <t>Desktops</t>
  </si>
  <si>
    <t>Repair</t>
  </si>
  <si>
    <t>WO1004</t>
  </si>
  <si>
    <t>2026-05-04</t>
  </si>
  <si>
    <t>NovaTech</t>
  </si>
  <si>
    <t>Cali</t>
  </si>
  <si>
    <t>West</t>
  </si>
  <si>
    <t>Carlos Ruiz</t>
  </si>
  <si>
    <t>Cisco 2960</t>
  </si>
  <si>
    <t>Networking</t>
  </si>
  <si>
    <t>Installation</t>
  </si>
  <si>
    <t>WO1005</t>
  </si>
  <si>
    <t>2026-05-05</t>
  </si>
  <si>
    <t>Nova Tech</t>
  </si>
  <si>
    <t>CALI</t>
  </si>
  <si>
    <t>West Branch</t>
  </si>
  <si>
    <t>C. Ruiz</t>
  </si>
  <si>
    <t>Cisco Switch 2960</t>
  </si>
  <si>
    <t>Network</t>
  </si>
  <si>
    <t>Install</t>
  </si>
  <si>
    <t>WO1006</t>
  </si>
  <si>
    <t>2026-05-06</t>
  </si>
  <si>
    <t>BioHealth</t>
  </si>
  <si>
    <t>Barranquilla</t>
  </si>
  <si>
    <t>Main</t>
  </si>
  <si>
    <t>Laura Diaz</t>
  </si>
  <si>
    <t>Canon Printer</t>
  </si>
  <si>
    <t>Printer</t>
  </si>
  <si>
    <t>WO1007</t>
  </si>
  <si>
    <t>2026-05-07</t>
  </si>
  <si>
    <t>Bio Health</t>
  </si>
  <si>
    <t>Barranquila</t>
  </si>
  <si>
    <t>Main Office</t>
  </si>
  <si>
    <t>L. Diaz</t>
  </si>
  <si>
    <t>Canon Pixma</t>
  </si>
  <si>
    <t>Printers</t>
  </si>
  <si>
    <t>WO1008</t>
  </si>
  <si>
    <t>2026-05-08</t>
  </si>
  <si>
    <t>SoftCorp</t>
  </si>
  <si>
    <t>Cartagena</t>
  </si>
  <si>
    <t>Coast</t>
  </si>
  <si>
    <t>Andres Mora</t>
  </si>
  <si>
    <t>Lenovo ThinkPad</t>
  </si>
  <si>
    <t>WO1009</t>
  </si>
  <si>
    <t>2026-05-09</t>
  </si>
  <si>
    <t>Soft Corp</t>
  </si>
  <si>
    <t xml:space="preserve">Cartagena </t>
  </si>
  <si>
    <t>Coastal</t>
  </si>
  <si>
    <t>A. Mora</t>
  </si>
  <si>
    <t>ThinkPad</t>
  </si>
  <si>
    <t>Maintenance</t>
  </si>
  <si>
    <t>WO1010</t>
  </si>
  <si>
    <t>2026-05-10</t>
  </si>
  <si>
    <t>Vision SA</t>
  </si>
  <si>
    <t>Pereira</t>
  </si>
  <si>
    <t>Coffee</t>
  </si>
  <si>
    <t>WO1011</t>
  </si>
  <si>
    <t>2026-05-11</t>
  </si>
  <si>
    <t>Vision S.A.</t>
  </si>
  <si>
    <t>Pereria</t>
  </si>
  <si>
    <t>Coffee Branch</t>
  </si>
  <si>
    <t>J Perez</t>
  </si>
  <si>
    <t>WO1012</t>
  </si>
  <si>
    <t>2026-05-12</t>
  </si>
  <si>
    <t>RetailOne</t>
  </si>
  <si>
    <t>Bucaramanga</t>
  </si>
  <si>
    <t>East</t>
  </si>
  <si>
    <t>WO1013</t>
  </si>
  <si>
    <t>2026-05-13</t>
  </si>
  <si>
    <t>Retail One</t>
  </si>
  <si>
    <t>B/manga</t>
  </si>
  <si>
    <t>East Office</t>
  </si>
  <si>
    <t>M Gomez</t>
  </si>
  <si>
    <t>Dell 5420</t>
  </si>
  <si>
    <t>WO1014</t>
  </si>
  <si>
    <t>2026-05-14</t>
  </si>
  <si>
    <t>EduCenter</t>
  </si>
  <si>
    <t>Cúcuta</t>
  </si>
  <si>
    <t>NorthEast</t>
  </si>
  <si>
    <t>WO1015</t>
  </si>
  <si>
    <t>2026-05-15</t>
  </si>
  <si>
    <t>Edu Center</t>
  </si>
  <si>
    <t>Cucuta</t>
  </si>
  <si>
    <t>NE Branch</t>
  </si>
  <si>
    <t>C Ruiz</t>
  </si>
  <si>
    <t>Cisco Switch</t>
  </si>
  <si>
    <t>WO1016</t>
  </si>
  <si>
    <t>2026-05-16</t>
  </si>
  <si>
    <t>HealthPlus</t>
  </si>
  <si>
    <t>Manizales</t>
  </si>
  <si>
    <t>Central</t>
  </si>
  <si>
    <t>WO1017</t>
  </si>
  <si>
    <t>2026-05-17</t>
  </si>
  <si>
    <t>Health Plus</t>
  </si>
  <si>
    <t>Manizalez</t>
  </si>
  <si>
    <t>Central Office</t>
  </si>
  <si>
    <t>L Diaz</t>
  </si>
  <si>
    <t>WO1018</t>
  </si>
  <si>
    <t>2026-05-18</t>
  </si>
  <si>
    <t>MegaFoods</t>
  </si>
  <si>
    <t>Santa Marta</t>
  </si>
  <si>
    <t>Caribbean</t>
  </si>
  <si>
    <t>WO1019</t>
  </si>
  <si>
    <t>2026-05-19</t>
  </si>
  <si>
    <t>Mega Foods</t>
  </si>
  <si>
    <t>Sta Marta</t>
  </si>
  <si>
    <t>Caribe</t>
  </si>
  <si>
    <t>A Mora</t>
  </si>
  <si>
    <t>Think Pad</t>
  </si>
  <si>
    <t>WO1020</t>
  </si>
  <si>
    <t>2026-05-20</t>
  </si>
  <si>
    <t>Entidades</t>
  </si>
  <si>
    <t>PK</t>
  </si>
  <si>
    <t>Atributos</t>
  </si>
  <si>
    <t>PF</t>
  </si>
  <si>
    <t>tables</t>
  </si>
  <si>
    <t>attributes</t>
  </si>
  <si>
    <t>FK</t>
  </si>
  <si>
    <t>city</t>
  </si>
  <si>
    <t>id</t>
  </si>
  <si>
    <t>name</t>
  </si>
  <si>
    <t>branch</t>
  </si>
  <si>
    <t>client</t>
  </si>
  <si>
    <t>tel</t>
  </si>
  <si>
    <t>client_site</t>
  </si>
  <si>
    <t>id_client</t>
  </si>
  <si>
    <t>id_city</t>
  </si>
  <si>
    <t>id_branch</t>
  </si>
  <si>
    <t>technician</t>
  </si>
  <si>
    <t>lastname</t>
  </si>
  <si>
    <t>equipment_category</t>
  </si>
  <si>
    <t>equipment</t>
  </si>
  <si>
    <t>id_equipment_category</t>
  </si>
  <si>
    <t>service_type</t>
  </si>
  <si>
    <t>service</t>
  </si>
  <si>
    <t>service_date</t>
  </si>
  <si>
    <t>id_technician</t>
  </si>
  <si>
    <t>service_detail</t>
  </si>
  <si>
    <t>hours</t>
  </si>
  <si>
    <t>cost</t>
  </si>
  <si>
    <t>id_equipment</t>
  </si>
  <si>
    <t>id_service_type</t>
  </si>
  <si>
    <t>id_service</t>
  </si>
  <si>
    <t>riwi_city</t>
  </si>
  <si>
    <t>riwi_id</t>
  </si>
  <si>
    <t>riwi_name</t>
  </si>
  <si>
    <t>riwi_branch</t>
  </si>
  <si>
    <t>riwi_client</t>
  </si>
  <si>
    <t>riwi_tel</t>
  </si>
  <si>
    <t>riwi_client_site</t>
  </si>
  <si>
    <t>riwi_id_client</t>
  </si>
  <si>
    <t>riwi_id_city</t>
  </si>
  <si>
    <t>riwi_id_branch</t>
  </si>
  <si>
    <t>riwi_technician</t>
  </si>
  <si>
    <t>riwi_lastname</t>
  </si>
  <si>
    <t>riwi_equipment_category</t>
  </si>
  <si>
    <t>riwi_equipment</t>
  </si>
  <si>
    <t>riwi_id_equipment_category</t>
  </si>
  <si>
    <t>riwi_service_type</t>
  </si>
  <si>
    <t>riwi_service</t>
  </si>
  <si>
    <t>riwi_service_date</t>
  </si>
  <si>
    <t>riwi_id_tecnician</t>
  </si>
  <si>
    <t>riwi_service_detail</t>
  </si>
  <si>
    <t>riwi_hours</t>
  </si>
  <si>
    <t>riwi_cost</t>
  </si>
  <si>
    <t>riwi_id_equipment</t>
  </si>
  <si>
    <t>riwi_id_service_type</t>
  </si>
  <si>
    <t>riwi_id_service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</si>
</sst>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5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Border="1" applyFont="1"/>
    <xf borderId="1" fillId="5" fontId="1" numFmtId="0" xfId="0" applyBorder="1" applyFont="1"/>
    <xf borderId="1" fillId="5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_TechCa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" displayName="Tabla_1" name="Tabla_1" id="1">
  <tableColumns count="11">
    <tableColumn name="Client" id="1"/>
    <tableColumn name="City" id="2"/>
    <tableColumn name="Branch" id="3"/>
    <tableColumn name="Technician" id="4"/>
    <tableColumn name="Equipment" id="5"/>
    <tableColumn name="EquipmentCategory" id="6"/>
    <tableColumn name="ServiceType" id="7"/>
    <tableColumn name="WorkOrder" id="8"/>
    <tableColumn name="ServiceDate" id="9"/>
    <tableColumn name="Hours" id="10"/>
    <tableColumn name="Cost" id="11"/>
  </tableColumns>
  <tableStyleInfo name="Dataset_TechCa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15.57"/>
    <col customWidth="1" min="3" max="3" width="15.86"/>
    <col customWidth="1" min="4" max="4" width="16.43"/>
    <col customWidth="1" min="5" max="5" width="19.86"/>
    <col customWidth="1" min="6" max="6" width="24.71"/>
    <col customWidth="1" min="7" max="7" width="24.86"/>
    <col customWidth="1" min="8" max="8" width="16.14"/>
    <col customWidth="1" min="9" max="9" width="17.43"/>
    <col customWidth="1" min="10" max="10" width="15.57"/>
    <col customWidth="1" min="11" max="11" width="14.29"/>
    <col customWidth="1" min="12" max="26" width="8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>
        <v>2.0</v>
      </c>
      <c r="K2" s="3">
        <v>120.0</v>
      </c>
    </row>
    <row r="3" ht="22.5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3">
        <v>3.0</v>
      </c>
      <c r="K3" s="3">
        <v>180.0</v>
      </c>
    </row>
    <row r="4" ht="22.5" customHeight="1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3">
        <v>4.0</v>
      </c>
      <c r="K4" s="3">
        <v>250.0</v>
      </c>
    </row>
    <row r="5" ht="22.5" customHeight="1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3">
        <v>2.0</v>
      </c>
      <c r="K5" s="3">
        <v>150.0</v>
      </c>
    </row>
    <row r="6" ht="22.5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3">
        <v>5.0</v>
      </c>
      <c r="K6" s="3">
        <v>500.0</v>
      </c>
    </row>
    <row r="7" ht="22.5" customHeight="1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3">
        <v>4.0</v>
      </c>
      <c r="K7" s="3">
        <v>450.0</v>
      </c>
    </row>
    <row r="8" ht="22.5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35</v>
      </c>
      <c r="H8" s="2" t="s">
        <v>71</v>
      </c>
      <c r="I8" s="2" t="s">
        <v>72</v>
      </c>
      <c r="J8" s="3">
        <v>2.0</v>
      </c>
      <c r="K8" s="3">
        <v>130.0</v>
      </c>
    </row>
    <row r="9" ht="22.5" customHeight="1">
      <c r="A9" s="2" t="s">
        <v>73</v>
      </c>
      <c r="B9" s="2" t="s">
        <v>74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44</v>
      </c>
      <c r="H9" s="2" t="s">
        <v>79</v>
      </c>
      <c r="I9" s="2" t="s">
        <v>80</v>
      </c>
      <c r="J9" s="3">
        <v>3.0</v>
      </c>
      <c r="K9" s="3">
        <v>200.0</v>
      </c>
    </row>
    <row r="10" ht="22.5" customHeight="1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16</v>
      </c>
      <c r="G10" s="2" t="s">
        <v>17</v>
      </c>
      <c r="H10" s="2" t="s">
        <v>86</v>
      </c>
      <c r="I10" s="2" t="s">
        <v>87</v>
      </c>
      <c r="J10" s="3">
        <v>2.0</v>
      </c>
      <c r="K10" s="3">
        <v>140.0</v>
      </c>
    </row>
    <row r="11" ht="22.5" customHeight="1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25</v>
      </c>
      <c r="G11" s="2" t="s">
        <v>93</v>
      </c>
      <c r="H11" s="2" t="s">
        <v>94</v>
      </c>
      <c r="I11" s="2" t="s">
        <v>95</v>
      </c>
      <c r="J11" s="3">
        <v>3.0</v>
      </c>
      <c r="K11" s="3">
        <v>190.0</v>
      </c>
    </row>
    <row r="12" ht="22.5" customHeight="1">
      <c r="A12" s="2" t="s">
        <v>96</v>
      </c>
      <c r="B12" s="2" t="s">
        <v>97</v>
      </c>
      <c r="C12" s="2" t="s">
        <v>98</v>
      </c>
      <c r="D12" s="2" t="s">
        <v>14</v>
      </c>
      <c r="E12" s="2" t="s">
        <v>33</v>
      </c>
      <c r="F12" s="2" t="s">
        <v>34</v>
      </c>
      <c r="G12" s="2" t="s">
        <v>53</v>
      </c>
      <c r="H12" s="2" t="s">
        <v>99</v>
      </c>
      <c r="I12" s="2" t="s">
        <v>100</v>
      </c>
      <c r="J12" s="3">
        <v>6.0</v>
      </c>
      <c r="K12" s="3">
        <v>550.0</v>
      </c>
    </row>
    <row r="13" ht="22.5" customHeight="1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42</v>
      </c>
      <c r="F13" s="2" t="s">
        <v>43</v>
      </c>
      <c r="G13" s="2" t="s">
        <v>62</v>
      </c>
      <c r="H13" s="2" t="s">
        <v>105</v>
      </c>
      <c r="I13" s="2" t="s">
        <v>106</v>
      </c>
      <c r="J13" s="3">
        <v>5.0</v>
      </c>
      <c r="K13" s="3">
        <v>520.0</v>
      </c>
    </row>
    <row r="14" ht="22.5" customHeight="1">
      <c r="A14" s="2" t="s">
        <v>107</v>
      </c>
      <c r="B14" s="2" t="s">
        <v>108</v>
      </c>
      <c r="C14" s="2" t="s">
        <v>109</v>
      </c>
      <c r="D14" s="2" t="s">
        <v>32</v>
      </c>
      <c r="E14" s="2" t="s">
        <v>15</v>
      </c>
      <c r="F14" s="2" t="s">
        <v>16</v>
      </c>
      <c r="G14" s="2" t="s">
        <v>35</v>
      </c>
      <c r="H14" s="2" t="s">
        <v>110</v>
      </c>
      <c r="I14" s="2" t="s">
        <v>111</v>
      </c>
      <c r="J14" s="3">
        <v>2.0</v>
      </c>
      <c r="K14" s="3">
        <v>160.0</v>
      </c>
    </row>
    <row r="15" ht="22.5" customHeight="1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25</v>
      </c>
      <c r="G15" s="2" t="s">
        <v>44</v>
      </c>
      <c r="H15" s="2" t="s">
        <v>117</v>
      </c>
      <c r="I15" s="2" t="s">
        <v>118</v>
      </c>
      <c r="J15" s="3">
        <v>3.0</v>
      </c>
      <c r="K15" s="3">
        <v>210.0</v>
      </c>
    </row>
    <row r="16" ht="22.5" customHeight="1">
      <c r="A16" s="2" t="s">
        <v>119</v>
      </c>
      <c r="B16" s="2" t="s">
        <v>120</v>
      </c>
      <c r="C16" s="2" t="s">
        <v>121</v>
      </c>
      <c r="D16" s="2" t="s">
        <v>50</v>
      </c>
      <c r="E16" s="2" t="s">
        <v>51</v>
      </c>
      <c r="F16" s="2" t="s">
        <v>52</v>
      </c>
      <c r="G16" s="2" t="s">
        <v>17</v>
      </c>
      <c r="H16" s="2" t="s">
        <v>122</v>
      </c>
      <c r="I16" s="2" t="s">
        <v>123</v>
      </c>
      <c r="J16" s="3">
        <v>2.0</v>
      </c>
      <c r="K16" s="3">
        <v>125.0</v>
      </c>
    </row>
    <row r="17" ht="22.5" customHeight="1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61</v>
      </c>
      <c r="G17" s="2" t="s">
        <v>93</v>
      </c>
      <c r="H17" s="2" t="s">
        <v>129</v>
      </c>
      <c r="I17" s="2" t="s">
        <v>130</v>
      </c>
      <c r="J17" s="3">
        <v>2.0</v>
      </c>
      <c r="K17" s="3">
        <v>135.0</v>
      </c>
    </row>
    <row r="18" ht="22.5" customHeight="1">
      <c r="A18" s="2" t="s">
        <v>131</v>
      </c>
      <c r="B18" s="2" t="s">
        <v>132</v>
      </c>
      <c r="C18" s="2" t="s">
        <v>133</v>
      </c>
      <c r="D18" s="2" t="s">
        <v>68</v>
      </c>
      <c r="E18" s="2" t="s">
        <v>69</v>
      </c>
      <c r="F18" s="2" t="s">
        <v>70</v>
      </c>
      <c r="G18" s="2" t="s">
        <v>53</v>
      </c>
      <c r="H18" s="2" t="s">
        <v>134</v>
      </c>
      <c r="I18" s="2" t="s">
        <v>135</v>
      </c>
      <c r="J18" s="3">
        <v>4.0</v>
      </c>
      <c r="K18" s="3">
        <v>400.0</v>
      </c>
    </row>
    <row r="19" ht="22.5" customHeight="1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77</v>
      </c>
      <c r="F19" s="2" t="s">
        <v>78</v>
      </c>
      <c r="G19" s="2" t="s">
        <v>62</v>
      </c>
      <c r="H19" s="2" t="s">
        <v>140</v>
      </c>
      <c r="I19" s="2" t="s">
        <v>141</v>
      </c>
      <c r="J19" s="3">
        <v>5.0</v>
      </c>
      <c r="K19" s="3">
        <v>430.0</v>
      </c>
    </row>
    <row r="20" ht="22.5" customHeight="1">
      <c r="A20" s="2" t="s">
        <v>142</v>
      </c>
      <c r="B20" s="2" t="s">
        <v>143</v>
      </c>
      <c r="C20" s="2" t="s">
        <v>144</v>
      </c>
      <c r="D20" s="2" t="s">
        <v>84</v>
      </c>
      <c r="E20" s="2" t="s">
        <v>85</v>
      </c>
      <c r="F20" s="2" t="s">
        <v>16</v>
      </c>
      <c r="G20" s="2" t="s">
        <v>35</v>
      </c>
      <c r="H20" s="2" t="s">
        <v>145</v>
      </c>
      <c r="I20" s="2" t="s">
        <v>146</v>
      </c>
      <c r="J20" s="3">
        <v>3.0</v>
      </c>
      <c r="K20" s="3">
        <v>220.0</v>
      </c>
    </row>
    <row r="21" ht="15.75" customHeight="1">
      <c r="A21" s="2" t="s">
        <v>147</v>
      </c>
      <c r="B21" s="2" t="s">
        <v>148</v>
      </c>
      <c r="C21" s="2" t="s">
        <v>149</v>
      </c>
      <c r="D21" s="2" t="s">
        <v>150</v>
      </c>
      <c r="E21" s="2" t="s">
        <v>151</v>
      </c>
      <c r="F21" s="2" t="s">
        <v>25</v>
      </c>
      <c r="G21" s="2" t="s">
        <v>44</v>
      </c>
      <c r="H21" s="2" t="s">
        <v>152</v>
      </c>
      <c r="I21" s="2" t="s">
        <v>153</v>
      </c>
      <c r="J21" s="3">
        <v>4.0</v>
      </c>
      <c r="K21" s="3">
        <v>260.0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custom" allowBlank="1" showDropDown="1" sqref="J2:K21">
      <formula1>AND(ISNUMBER(J2),(NOT(OR(NOT(ISERROR(DATEVALUE(J2))), AND(ISNUMBER(J2), LEFT(CELL("format", J2))="D")))))</formula1>
    </dataValidation>
  </dataValidation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.29"/>
    <col customWidth="1" min="3" max="3" width="12.0"/>
    <col customWidth="1" min="4" max="5" width="9.0"/>
    <col customWidth="1" min="6" max="6" width="21.43"/>
    <col customWidth="1" min="7" max="7" width="14.57"/>
    <col customWidth="1" min="8" max="8" width="9.71"/>
    <col customWidth="1" min="10" max="10" width="23.0"/>
    <col customWidth="1" min="11" max="11" width="8.71"/>
    <col customWidth="1" min="12" max="12" width="16.14"/>
    <col customWidth="1" min="13" max="13" width="13.14"/>
    <col customWidth="1" min="14" max="14" width="7.57"/>
    <col customWidth="1" min="15" max="15" width="25.71"/>
    <col customWidth="1" min="16" max="16" width="18.86"/>
  </cols>
  <sheetData>
    <row r="1">
      <c r="A1" s="4" t="s">
        <v>154</v>
      </c>
      <c r="B1" s="5" t="s">
        <v>155</v>
      </c>
      <c r="C1" s="6" t="s">
        <v>156</v>
      </c>
      <c r="D1" s="7"/>
      <c r="E1" s="8"/>
      <c r="F1" s="9" t="s">
        <v>157</v>
      </c>
      <c r="G1" s="7"/>
      <c r="H1" s="8"/>
      <c r="J1" s="4" t="s">
        <v>158</v>
      </c>
      <c r="K1" s="5" t="s">
        <v>155</v>
      </c>
      <c r="L1" s="6" t="s">
        <v>159</v>
      </c>
      <c r="M1" s="7"/>
      <c r="N1" s="8"/>
      <c r="O1" s="9" t="s">
        <v>160</v>
      </c>
      <c r="P1" s="7"/>
      <c r="Q1" s="8"/>
    </row>
    <row r="2">
      <c r="A2" s="10" t="s">
        <v>161</v>
      </c>
      <c r="B2" s="11" t="s">
        <v>162</v>
      </c>
      <c r="C2" s="12" t="s">
        <v>163</v>
      </c>
      <c r="D2" s="13"/>
      <c r="E2" s="13"/>
      <c r="F2" s="14"/>
      <c r="G2" s="14"/>
      <c r="H2" s="14"/>
      <c r="J2" s="10" t="str">
        <f t="shared" ref="J2:L2" si="1">CONCAT("riwi_",A2)</f>
        <v>riwi_city</v>
      </c>
      <c r="K2" s="11" t="str">
        <f t="shared" si="1"/>
        <v>riwi_id</v>
      </c>
      <c r="L2" s="12" t="str">
        <f t="shared" si="1"/>
        <v>riwi_name</v>
      </c>
      <c r="M2" s="13"/>
      <c r="N2" s="13"/>
      <c r="O2" s="14"/>
      <c r="P2" s="14"/>
      <c r="Q2" s="14"/>
    </row>
    <row r="3">
      <c r="A3" s="10" t="s">
        <v>164</v>
      </c>
      <c r="B3" s="11" t="s">
        <v>162</v>
      </c>
      <c r="C3" s="12" t="s">
        <v>163</v>
      </c>
      <c r="D3" s="13"/>
      <c r="E3" s="13"/>
      <c r="F3" s="14"/>
      <c r="G3" s="14"/>
      <c r="H3" s="14"/>
      <c r="J3" s="10" t="str">
        <f t="shared" ref="J3:L3" si="2">CONCAT("riwi_",A3)</f>
        <v>riwi_branch</v>
      </c>
      <c r="K3" s="11" t="str">
        <f t="shared" si="2"/>
        <v>riwi_id</v>
      </c>
      <c r="L3" s="12" t="str">
        <f t="shared" si="2"/>
        <v>riwi_name</v>
      </c>
      <c r="M3" s="13"/>
      <c r="N3" s="13"/>
      <c r="O3" s="14"/>
      <c r="P3" s="14"/>
      <c r="Q3" s="14"/>
    </row>
    <row r="4">
      <c r="A4" s="10" t="s">
        <v>165</v>
      </c>
      <c r="B4" s="11" t="s">
        <v>162</v>
      </c>
      <c r="C4" s="12" t="s">
        <v>163</v>
      </c>
      <c r="D4" s="12" t="s">
        <v>166</v>
      </c>
      <c r="E4" s="12"/>
      <c r="F4" s="15"/>
      <c r="G4" s="15"/>
      <c r="H4" s="14"/>
      <c r="J4" s="10" t="str">
        <f t="shared" ref="J4:M4" si="3">CONCAT("riwi_",A4)</f>
        <v>riwi_client</v>
      </c>
      <c r="K4" s="11" t="str">
        <f t="shared" si="3"/>
        <v>riwi_id</v>
      </c>
      <c r="L4" s="12" t="str">
        <f t="shared" si="3"/>
        <v>riwi_name</v>
      </c>
      <c r="M4" s="12" t="str">
        <f t="shared" si="3"/>
        <v>riwi_tel</v>
      </c>
      <c r="N4" s="12"/>
      <c r="O4" s="15"/>
      <c r="P4" s="15"/>
      <c r="Q4" s="14"/>
    </row>
    <row r="5">
      <c r="A5" s="10" t="s">
        <v>167</v>
      </c>
      <c r="B5" s="11" t="s">
        <v>162</v>
      </c>
      <c r="C5" s="12"/>
      <c r="D5" s="12"/>
      <c r="E5" s="12"/>
      <c r="F5" s="15" t="s">
        <v>168</v>
      </c>
      <c r="G5" s="15" t="s">
        <v>169</v>
      </c>
      <c r="H5" s="15" t="s">
        <v>170</v>
      </c>
      <c r="J5" s="10" t="str">
        <f t="shared" ref="J5:K5" si="4">CONCAT("riwi_",A5)</f>
        <v>riwi_client_site</v>
      </c>
      <c r="K5" s="11" t="str">
        <f t="shared" si="4"/>
        <v>riwi_id</v>
      </c>
      <c r="L5" s="12"/>
      <c r="M5" s="12"/>
      <c r="N5" s="12"/>
      <c r="O5" s="15" t="str">
        <f t="shared" ref="O5:Q5" si="5">CONCAT("riwi_",F5)</f>
        <v>riwi_id_client</v>
      </c>
      <c r="P5" s="15" t="str">
        <f t="shared" si="5"/>
        <v>riwi_id_city</v>
      </c>
      <c r="Q5" s="15" t="str">
        <f t="shared" si="5"/>
        <v>riwi_id_branch</v>
      </c>
    </row>
    <row r="6">
      <c r="A6" s="10" t="s">
        <v>171</v>
      </c>
      <c r="B6" s="11" t="s">
        <v>162</v>
      </c>
      <c r="C6" s="12" t="s">
        <v>163</v>
      </c>
      <c r="D6" s="12" t="s">
        <v>172</v>
      </c>
      <c r="E6" s="12" t="s">
        <v>166</v>
      </c>
      <c r="F6" s="14"/>
      <c r="G6" s="14"/>
      <c r="H6" s="14"/>
      <c r="J6" s="10" t="str">
        <f t="shared" ref="J6:N6" si="6">CONCAT("riwi_",A6)</f>
        <v>riwi_technician</v>
      </c>
      <c r="K6" s="11" t="str">
        <f t="shared" si="6"/>
        <v>riwi_id</v>
      </c>
      <c r="L6" s="12" t="str">
        <f t="shared" si="6"/>
        <v>riwi_name</v>
      </c>
      <c r="M6" s="12" t="str">
        <f t="shared" si="6"/>
        <v>riwi_lastname</v>
      </c>
      <c r="N6" s="12" t="str">
        <f t="shared" si="6"/>
        <v>riwi_tel</v>
      </c>
      <c r="O6" s="14"/>
      <c r="P6" s="14"/>
      <c r="Q6" s="14"/>
    </row>
    <row r="7">
      <c r="A7" s="10" t="s">
        <v>173</v>
      </c>
      <c r="B7" s="11" t="s">
        <v>162</v>
      </c>
      <c r="C7" s="12" t="s">
        <v>163</v>
      </c>
      <c r="D7" s="13"/>
      <c r="E7" s="13"/>
      <c r="F7" s="15"/>
      <c r="G7" s="14"/>
      <c r="H7" s="14"/>
      <c r="J7" s="10" t="str">
        <f t="shared" ref="J7:L7" si="7">CONCAT("riwi_",A7)</f>
        <v>riwi_equipment_category</v>
      </c>
      <c r="K7" s="11" t="str">
        <f t="shared" si="7"/>
        <v>riwi_id</v>
      </c>
      <c r="L7" s="12" t="str">
        <f t="shared" si="7"/>
        <v>riwi_name</v>
      </c>
      <c r="M7" s="13"/>
      <c r="N7" s="13"/>
      <c r="O7" s="15"/>
      <c r="P7" s="14"/>
      <c r="Q7" s="14"/>
    </row>
    <row r="8">
      <c r="A8" s="10" t="s">
        <v>174</v>
      </c>
      <c r="B8" s="11" t="s">
        <v>162</v>
      </c>
      <c r="C8" s="12" t="s">
        <v>163</v>
      </c>
      <c r="D8" s="13"/>
      <c r="E8" s="13"/>
      <c r="F8" s="15" t="s">
        <v>175</v>
      </c>
      <c r="G8" s="14"/>
      <c r="H8" s="14"/>
      <c r="J8" s="10" t="str">
        <f t="shared" ref="J8:L8" si="8">CONCAT("riwi_",A8)</f>
        <v>riwi_equipment</v>
      </c>
      <c r="K8" s="11" t="str">
        <f t="shared" si="8"/>
        <v>riwi_id</v>
      </c>
      <c r="L8" s="12" t="str">
        <f t="shared" si="8"/>
        <v>riwi_name</v>
      </c>
      <c r="M8" s="13"/>
      <c r="N8" s="13"/>
      <c r="O8" s="15" t="str">
        <f>CONCAT("riwi_",F8)</f>
        <v>riwi_id_equipment_category</v>
      </c>
      <c r="P8" s="14"/>
      <c r="Q8" s="14"/>
    </row>
    <row r="9">
      <c r="A9" s="10" t="s">
        <v>176</v>
      </c>
      <c r="B9" s="11" t="s">
        <v>162</v>
      </c>
      <c r="C9" s="12" t="s">
        <v>163</v>
      </c>
      <c r="D9" s="13"/>
      <c r="E9" s="13"/>
      <c r="F9" s="14"/>
      <c r="G9" s="14"/>
      <c r="H9" s="14"/>
      <c r="J9" s="10" t="str">
        <f t="shared" ref="J9:L9" si="9">CONCAT("riwi_",A9)</f>
        <v>riwi_service_type</v>
      </c>
      <c r="K9" s="11" t="str">
        <f t="shared" si="9"/>
        <v>riwi_id</v>
      </c>
      <c r="L9" s="12" t="str">
        <f t="shared" si="9"/>
        <v>riwi_name</v>
      </c>
      <c r="M9" s="13"/>
      <c r="N9" s="13"/>
      <c r="O9" s="14"/>
      <c r="P9" s="14"/>
      <c r="Q9" s="14"/>
    </row>
    <row r="10">
      <c r="A10" s="10" t="s">
        <v>177</v>
      </c>
      <c r="B10" s="11" t="s">
        <v>162</v>
      </c>
      <c r="C10" s="12" t="s">
        <v>178</v>
      </c>
      <c r="D10" s="13"/>
      <c r="E10" s="13"/>
      <c r="F10" s="15" t="s">
        <v>168</v>
      </c>
      <c r="G10" s="15" t="s">
        <v>179</v>
      </c>
      <c r="H10" s="15"/>
      <c r="J10" s="10" t="str">
        <f t="shared" ref="J10:L10" si="10">CONCAT("riwi_",A10)</f>
        <v>riwi_service</v>
      </c>
      <c r="K10" s="11" t="str">
        <f t="shared" si="10"/>
        <v>riwi_id</v>
      </c>
      <c r="L10" s="12" t="str">
        <f t="shared" si="10"/>
        <v>riwi_service_date</v>
      </c>
      <c r="M10" s="13"/>
      <c r="N10" s="13"/>
      <c r="O10" s="15" t="str">
        <f t="shared" ref="O10:O11" si="12">CONCAT("riwi_",F10)</f>
        <v>riwi_id_client</v>
      </c>
      <c r="P10" s="15"/>
      <c r="Q10" s="15"/>
    </row>
    <row r="11">
      <c r="A11" s="10" t="s">
        <v>180</v>
      </c>
      <c r="B11" s="11" t="s">
        <v>162</v>
      </c>
      <c r="C11" s="12" t="s">
        <v>181</v>
      </c>
      <c r="D11" s="12" t="s">
        <v>182</v>
      </c>
      <c r="E11" s="12"/>
      <c r="F11" s="15" t="s">
        <v>183</v>
      </c>
      <c r="G11" s="15" t="s">
        <v>184</v>
      </c>
      <c r="H11" s="15" t="s">
        <v>185</v>
      </c>
      <c r="J11" s="10" t="str">
        <f t="shared" ref="J11:M11" si="11">CONCAT("riwi_",A11)</f>
        <v>riwi_service_detail</v>
      </c>
      <c r="K11" s="11" t="str">
        <f t="shared" si="11"/>
        <v>riwi_id</v>
      </c>
      <c r="L11" s="12" t="str">
        <f t="shared" si="11"/>
        <v>riwi_hours</v>
      </c>
      <c r="M11" s="12" t="str">
        <f t="shared" si="11"/>
        <v>riwi_cost</v>
      </c>
      <c r="N11" s="12"/>
      <c r="O11" s="15" t="str">
        <f t="shared" si="12"/>
        <v>riwi_id_equipment</v>
      </c>
      <c r="P11" s="15" t="str">
        <f t="shared" ref="P11:Q11" si="13">CONCAT("riwi_",G11)</f>
        <v>riwi_id_service_type</v>
      </c>
      <c r="Q11" s="15" t="str">
        <f t="shared" si="13"/>
        <v>riwi_id_service</v>
      </c>
    </row>
    <row r="13">
      <c r="J13" s="4" t="s">
        <v>158</v>
      </c>
      <c r="K13" s="5" t="s">
        <v>155</v>
      </c>
      <c r="L13" s="6" t="s">
        <v>159</v>
      </c>
      <c r="M13" s="7"/>
      <c r="N13" s="8"/>
      <c r="O13" s="9" t="s">
        <v>160</v>
      </c>
      <c r="P13" s="7"/>
      <c r="Q13" s="8"/>
    </row>
    <row r="14">
      <c r="J14" s="10" t="s">
        <v>186</v>
      </c>
      <c r="K14" s="11" t="s">
        <v>187</v>
      </c>
      <c r="L14" s="12" t="s">
        <v>188</v>
      </c>
      <c r="M14" s="13"/>
      <c r="N14" s="13"/>
      <c r="O14" s="14"/>
      <c r="P14" s="14"/>
      <c r="Q14" s="14"/>
    </row>
    <row r="15">
      <c r="J15" s="10" t="s">
        <v>189</v>
      </c>
      <c r="K15" s="11" t="s">
        <v>187</v>
      </c>
      <c r="L15" s="12" t="s">
        <v>188</v>
      </c>
      <c r="M15" s="13"/>
      <c r="N15" s="13"/>
      <c r="O15" s="14"/>
      <c r="P15" s="14"/>
      <c r="Q15" s="14"/>
    </row>
    <row r="16">
      <c r="J16" s="10" t="s">
        <v>190</v>
      </c>
      <c r="K16" s="11" t="s">
        <v>187</v>
      </c>
      <c r="L16" s="12" t="s">
        <v>188</v>
      </c>
      <c r="M16" s="12" t="s">
        <v>191</v>
      </c>
      <c r="N16" s="12"/>
      <c r="O16" s="15"/>
      <c r="P16" s="15"/>
      <c r="Q16" s="14"/>
    </row>
    <row r="17">
      <c r="J17" s="10" t="s">
        <v>192</v>
      </c>
      <c r="K17" s="11" t="s">
        <v>187</v>
      </c>
      <c r="L17" s="12"/>
      <c r="M17" s="12"/>
      <c r="N17" s="12"/>
      <c r="O17" s="15" t="s">
        <v>193</v>
      </c>
      <c r="P17" s="15" t="s">
        <v>194</v>
      </c>
      <c r="Q17" s="15" t="s">
        <v>195</v>
      </c>
    </row>
    <row r="18">
      <c r="J18" s="10" t="s">
        <v>196</v>
      </c>
      <c r="K18" s="11" t="s">
        <v>187</v>
      </c>
      <c r="L18" s="12" t="s">
        <v>188</v>
      </c>
      <c r="M18" s="12" t="s">
        <v>197</v>
      </c>
      <c r="N18" s="12" t="s">
        <v>191</v>
      </c>
      <c r="O18" s="14"/>
      <c r="P18" s="14"/>
      <c r="Q18" s="14"/>
    </row>
    <row r="19">
      <c r="J19" s="10" t="s">
        <v>198</v>
      </c>
      <c r="K19" s="11" t="s">
        <v>187</v>
      </c>
      <c r="L19" s="12" t="s">
        <v>188</v>
      </c>
      <c r="M19" s="13"/>
      <c r="N19" s="13"/>
      <c r="O19" s="15"/>
      <c r="P19" s="14"/>
      <c r="Q19" s="14"/>
    </row>
    <row r="20">
      <c r="J20" s="10" t="s">
        <v>199</v>
      </c>
      <c r="K20" s="11" t="s">
        <v>187</v>
      </c>
      <c r="L20" s="12" t="s">
        <v>188</v>
      </c>
      <c r="M20" s="13"/>
      <c r="N20" s="13"/>
      <c r="O20" s="15" t="s">
        <v>200</v>
      </c>
      <c r="P20" s="14"/>
      <c r="Q20" s="14"/>
    </row>
    <row r="21">
      <c r="J21" s="10" t="s">
        <v>201</v>
      </c>
      <c r="K21" s="11" t="s">
        <v>187</v>
      </c>
      <c r="L21" s="12" t="s">
        <v>188</v>
      </c>
      <c r="M21" s="13"/>
      <c r="N21" s="13"/>
      <c r="O21" s="14"/>
      <c r="P21" s="14"/>
      <c r="Q21" s="14"/>
    </row>
    <row r="22">
      <c r="J22" s="10" t="s">
        <v>202</v>
      </c>
      <c r="K22" s="11" t="s">
        <v>187</v>
      </c>
      <c r="L22" s="12" t="s">
        <v>203</v>
      </c>
      <c r="M22" s="13"/>
      <c r="N22" s="13"/>
      <c r="O22" s="15" t="s">
        <v>193</v>
      </c>
      <c r="P22" s="15" t="s">
        <v>204</v>
      </c>
      <c r="Q22" s="15"/>
    </row>
    <row r="23">
      <c r="J23" s="10" t="s">
        <v>205</v>
      </c>
      <c r="K23" s="11" t="s">
        <v>187</v>
      </c>
      <c r="L23" s="12" t="s">
        <v>206</v>
      </c>
      <c r="M23" s="12" t="s">
        <v>207</v>
      </c>
      <c r="N23" s="12"/>
      <c r="O23" s="15" t="s">
        <v>208</v>
      </c>
      <c r="P23" s="15" t="s">
        <v>209</v>
      </c>
      <c r="Q23" s="15" t="s">
        <v>210</v>
      </c>
    </row>
  </sheetData>
  <mergeCells count="6">
    <mergeCell ref="F1:H1"/>
    <mergeCell ref="C1:E1"/>
    <mergeCell ref="O1:Q1"/>
    <mergeCell ref="L1:N1"/>
    <mergeCell ref="O13:Q13"/>
    <mergeCell ref="L13:N13"/>
  </mergeCells>
  <drawing r:id="rId1"/>
</worksheet>
</file>